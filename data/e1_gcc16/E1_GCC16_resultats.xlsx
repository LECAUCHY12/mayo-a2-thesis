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_E1" sheetId="1" state="visible" r:id="rId3"/>
    <sheet name="Shuffles_par_entree" sheetId="2" state="visible" r:id="rId4"/>
    <sheet name="Instructions_par_entree" sheetId="3" state="visible" r:id="rId5"/>
    <sheet name="Reserves_et_suit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<sst xmlns="http://schemas.openxmlformats.org/spreadsheetml/2006/main" count="106" uniqueCount="68">
  <si>
    <t xml:space="preserve">Analyse statique E1 — GCC 16.2.0 (machine physique), 22 octobre 2026</t>
  </si>
  <si>
    <t xml:space="preserve">Archive</t>
  </si>
  <si>
    <t xml:space="preserve">e1_cauchy_e1_gcc16.tar.gz</t>
  </si>
  <si>
    <t xml:space="preserve">SHA-256</t>
  </si>
  <si>
    <t xml:space="preserve">7847187a4ce0514d352871d750990120af990f868130e089683dedf09abbea3b (vérifié à la réception)</t>
  </si>
  <si>
    <t xml:space="preserve">Compilateur</t>
  </si>
  <si>
    <t xml:space="preserve">gcc (Debian 16.2.0-3) 16.2.0 ; binutils 2.47 ; cmake 4.3.4</t>
  </si>
  <si>
    <t xml:space="preserve">Noyau</t>
  </si>
  <si>
    <t xml:space="preserve">Linux 7.1.5+kali-amd64</t>
  </si>
  <si>
    <t xml:space="preserve">Options</t>
  </si>
  <si>
    <t xml:space="preserve">-O3 -funroll-loops -march=haswell -maes ; MAYO_TAIL_SAFE=ON</t>
  </si>
  <si>
    <t xml:space="preserve">Date</t>
  </si>
  <si>
    <t xml:space="preserve">22 oct. 2026 17:21:24 UTC (19:21:24 CEST, horloge locale UTC+2)</t>
  </si>
  <si>
    <t xml:space="preserve">Contrôle -g</t>
  </si>
  <si>
    <t xml:space="preserve">Code machine identique avec et sans -g pour les 12 objets</t>
  </si>
  <si>
    <t xml:space="preserve">Constats</t>
  </si>
  <si>
    <t xml:space="preserve">1</t>
  </si>
  <si>
    <t xml:space="preserve">Facteur de déroulage u = 1 pour toutes les boucles de travail : un tour de boucle = une entrée de P1.</t>
  </si>
  <si>
    <t xml:space="preserve">2</t>
  </si>
  <si>
    <t xml:space="preserve">vpshufb par entrée conformes au modèle : officiel 20 (MAYO-1) et 36 (MAYO-5) ; A2 15 (10 ymm + 5 xmm) et 30 (24 ymm + 6 xmm). Le « 60 » de GCC 13.3 n'est pas une boucle d'une entrée.</t>
  </si>
  <si>
    <t xml:space="preserve">3</t>
  </si>
  <si>
    <t xml:space="preserve">Rapport d'instructions statiques A2/officiel stable (≈0,86–0,87 pour MAYO-5 P1t) entre banc, contexte avec sondes et contexte sans sondes.</t>
  </si>
  <si>
    <t xml:space="preserve">4</t>
  </si>
  <si>
    <t xml:space="preserve">Pour MAYO-5, le code en contexte sans toutes les sondes (none, esk, mcalc = ctx_ab) diffère de celui avec toutes les sondes : environ 30 écritures de plus par entrée vers le cadre de pile, dans les deux bras.</t>
  </si>
  <si>
    <t xml:space="preserve">5</t>
  </si>
  <si>
    <t xml:space="preserve">Ce sont des comptes statiques : ni instructions exécutées, ni coût mesuré. Aucune cause de l'anomalie MAYO-5 n'est établie.</t>
  </si>
  <si>
    <t xml:space="preserve">Paramètre</t>
  </si>
  <si>
    <t xml:space="preserve">m</t>
  </si>
  <si>
    <t xml:space="preserve">Paires P (=K/2)</t>
  </si>
  <si>
    <t xml:space="preserve">Officiel observé</t>
  </si>
  <si>
    <t xml:space="preserve">A2 ymm</t>
  </si>
  <si>
    <t xml:space="preserve">A2 xmm</t>
  </si>
  <si>
    <t xml:space="preserve">A2 total</t>
  </si>
  <si>
    <t xml:space="preserve">Ratio A2/officiel</t>
  </si>
  <si>
    <t xml:space="preserve">Attendu officiel 2·⌈m/64⌉·P</t>
  </si>
  <si>
    <t xml:space="preserve">Attendu A2 (2⌊m/64⌋+1)·P</t>
  </si>
  <si>
    <t xml:space="preserve">Écart officiel</t>
  </si>
  <si>
    <t xml:space="preserve">Écart A2</t>
  </si>
  <si>
    <t xml:space="preserve">MAYO-1</t>
  </si>
  <si>
    <t xml:space="preserve">MAYO-5</t>
  </si>
  <si>
    <t xml:space="preserve">Source : colonnes bleues = valeurs lues dans les dumps E1 (toutes configurations identiques). Les colonnes noires sont des formules.</t>
  </si>
  <si>
    <t xml:space="preserve">Configuration</t>
  </si>
  <si>
    <t xml:space="preserve">Param.</t>
  </si>
  <si>
    <t xml:space="preserve">Instr. officiel</t>
  </si>
  <si>
    <t xml:space="preserve">Instr. A2</t>
  </si>
  <si>
    <t xml:space="preserve">Écritures pile/cadre officiel</t>
  </si>
  <si>
    <t xml:space="preserve">Écritures pile/cadre A2</t>
  </si>
  <si>
    <t xml:space="preserve">Remarque</t>
  </si>
  <si>
    <t xml:space="preserve">banc isolé</t>
  </si>
  <si>
    <t xml:space="preserve">P1</t>
  </si>
  <si>
    <t xml:space="preserve">P1t</t>
  </si>
  <si>
    <t xml:space="preserve">contexte (ctx_ab)</t>
  </si>
  <si>
    <t xml:space="preserve">boucle officielle non identifiée avec certitude (macro partagée)</t>
  </si>
  <si>
    <t xml:space="preserve">contexte sans sondes (none/esk/mcalc)</t>
  </si>
  <si>
    <t xml:space="preserve">identique à ctx_ab</t>
  </si>
  <si>
    <t xml:space="preserve">contexte, toutes sondes (ctx_phases)</t>
  </si>
  <si>
    <t xml:space="preserve">ressemble au banc isolé</t>
  </si>
  <si>
    <t xml:space="preserve">n/i = non identifié. « Écritures pile/cadre » = écritures vers rbp ou rsp : en contexte (offsets &gt; 4 Ko) ce sont des tableaux locaux, pas des débordements de registres ; en banc (rsp, petit offset) la nature n'est pas encore séparée.</t>
  </si>
  <si>
    <t xml:space="preserve">Type</t>
  </si>
  <si>
    <t xml:space="preserve">Point</t>
  </si>
  <si>
    <t xml:space="preserve">Réserve</t>
  </si>
  <si>
    <t xml:space="preserve">Le classifieur range sous « pile » toutes les écritures rbp/rsp ; à corriger pour séparer débordements de registres et tableaux locaux.</t>
  </si>
  <si>
    <t xml:space="preserve">L'attribution d'une boucle à un noyau repose sur les numéros de ligne ; la macro de multiplication est partagée entre plusieurs noyaux (P1_times_O, Ot_times_P1O_P2, P1_times_Vt…).</t>
  </si>
  <si>
    <t xml:space="preserve">Comptes statiques seulement : pas d'instructions exécutées, pas de µops, pas de coût mesuré.</t>
  </si>
  <si>
    <t xml:space="preserve">L'origine exacte du « 60 » de GCC 13.3 reste à établir en ré-analysant le dump de la VM.</t>
  </si>
  <si>
    <t xml:space="preserve">Suite</t>
  </si>
  <si>
    <t xml:space="preserve">Corriger le classifieur et l'attribution des noyaux ; relire l'article (section 5.1) et son artefact ; assembler la note v2.</t>
  </si>
  <si>
    <t xml:space="preserve">Clang pour E1 après l'analyse GCC. E2 à E5 non lancées (consigne de Dr Tale).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</si>
</sst>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name val="Arial"/>
      <family val="0"/>
      <charset val="1"/>
    </font>
    <font>
      <sz val="10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6F0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6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  <c r="B2" s="3"/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s">
        <v>10</v>
      </c>
    </row>
    <row r="8" customFormat="false" ht="15" hidden="false" customHeight="false" outlineLevel="0" collapsed="false">
      <c r="A8" s="2" t="s">
        <v>11</v>
      </c>
      <c r="B8" s="3" t="s">
        <v>12</v>
      </c>
    </row>
    <row r="9" customFormat="false" ht="15" hidden="false" customHeight="false" outlineLevel="0" collapsed="false">
      <c r="A9" s="2" t="s">
        <v>13</v>
      </c>
      <c r="B9" s="3" t="s">
        <v>14</v>
      </c>
    </row>
    <row r="10" customFormat="false" ht="15" hidden="false" customHeight="false" outlineLevel="0" collapsed="false">
      <c r="A10" s="2"/>
      <c r="B10" s="3"/>
    </row>
    <row r="11" customFormat="false" ht="15" hidden="false" customHeight="false" outlineLevel="0" collapsed="false">
      <c r="A11" s="2" t="s">
        <v>15</v>
      </c>
      <c r="B11" s="3"/>
    </row>
    <row r="12" customFormat="false" ht="15" hidden="false" customHeight="false" outlineLevel="0" collapsed="false">
      <c r="A12" s="2" t="s">
        <v>16</v>
      </c>
      <c r="B12" s="3" t="s">
        <v>17</v>
      </c>
    </row>
    <row r="13" customFormat="false" ht="23.85" hidden="false" customHeight="false" outlineLevel="0" collapsed="false">
      <c r="A13" s="2" t="s">
        <v>18</v>
      </c>
      <c r="B13" s="3" t="s">
        <v>19</v>
      </c>
    </row>
    <row r="14" customFormat="false" ht="23.85" hidden="false" customHeight="false" outlineLevel="0" collapsed="false">
      <c r="A14" s="2" t="s">
        <v>20</v>
      </c>
      <c r="B14" s="3" t="s">
        <v>21</v>
      </c>
    </row>
    <row r="15" customFormat="false" ht="23.85" hidden="false" customHeight="false" outlineLevel="0" collapsed="false">
      <c r="A15" s="2" t="s">
        <v>22</v>
      </c>
      <c r="B15" s="3" t="s">
        <v>23</v>
      </c>
    </row>
    <row r="16" customFormat="false" ht="15" hidden="false" customHeight="false" outlineLevel="0" collapsed="false">
      <c r="A16" s="2" t="s">
        <v>24</v>
      </c>
      <c r="B16" s="3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7"/>
    <col collapsed="false" customWidth="true" hidden="false" outlineLevel="0" max="4" min="3" style="0" width="12"/>
    <col collapsed="false" customWidth="true" hidden="false" outlineLevel="0" max="7" min="5" style="0" width="9"/>
    <col collapsed="false" customWidth="true" hidden="false" outlineLevel="0" max="8" min="8" style="0" width="12"/>
    <col collapsed="false" customWidth="true" hidden="false" outlineLevel="0" max="10" min="9" style="0" width="16"/>
    <col collapsed="false" customWidth="true" hidden="false" outlineLevel="0" max="11" min="11" style="0" width="10"/>
    <col collapsed="false" customWidth="true" hidden="false" outlineLevel="0" max="12" min="12" style="0" width="9"/>
  </cols>
  <sheetData>
    <row r="1" customFormat="false" ht="42" hidden="false" customHeight="true" outlineLevel="0" collapsed="false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33</v>
      </c>
      <c r="I1" s="4" t="s">
        <v>34</v>
      </c>
      <c r="J1" s="4" t="s">
        <v>35</v>
      </c>
      <c r="K1" s="4" t="s">
        <v>36</v>
      </c>
      <c r="L1" s="4" t="s">
        <v>37</v>
      </c>
    </row>
    <row r="2" customFormat="false" ht="15" hidden="false" customHeight="false" outlineLevel="0" collapsed="false">
      <c r="A2" s="5" t="s">
        <v>38</v>
      </c>
      <c r="B2" s="5" t="n">
        <v>80</v>
      </c>
      <c r="C2" s="5" t="n">
        <v>5</v>
      </c>
      <c r="D2" s="5" t="n">
        <v>20</v>
      </c>
      <c r="E2" s="5" t="n">
        <v>10</v>
      </c>
      <c r="F2" s="5" t="n">
        <v>5</v>
      </c>
      <c r="G2" s="6" t="n">
        <f aca="false">E2+F2</f>
        <v>15</v>
      </c>
      <c r="H2" s="7" t="n">
        <f aca="false">G2/D2</f>
        <v>0.75</v>
      </c>
      <c r="I2" s="6" t="n">
        <f aca="false">2*ROUNDUP(B2/64,0)*C2</f>
        <v>20</v>
      </c>
      <c r="J2" s="6" t="n">
        <f aca="false">(2*INT(B2/64)+1)*C2</f>
        <v>15</v>
      </c>
      <c r="K2" s="6" t="n">
        <f aca="false">D2-I2</f>
        <v>0</v>
      </c>
      <c r="L2" s="6" t="n">
        <f aca="false">G2-J2</f>
        <v>0</v>
      </c>
    </row>
    <row r="3" customFormat="false" ht="15" hidden="false" customHeight="false" outlineLevel="0" collapsed="false">
      <c r="A3" s="5" t="s">
        <v>39</v>
      </c>
      <c r="B3" s="5" t="n">
        <v>142</v>
      </c>
      <c r="C3" s="5" t="n">
        <v>6</v>
      </c>
      <c r="D3" s="5" t="n">
        <v>36</v>
      </c>
      <c r="E3" s="5" t="n">
        <v>24</v>
      </c>
      <c r="F3" s="5" t="n">
        <v>6</v>
      </c>
      <c r="G3" s="6" t="n">
        <f aca="false">E3+F3</f>
        <v>30</v>
      </c>
      <c r="H3" s="7" t="n">
        <f aca="false">G3/D3</f>
        <v>0.833333333333333</v>
      </c>
      <c r="I3" s="6" t="n">
        <f aca="false">2*ROUNDUP(B3/64,0)*C3</f>
        <v>36</v>
      </c>
      <c r="J3" s="6" t="n">
        <f aca="false">(2*INT(B3/64)+1)*C3</f>
        <v>30</v>
      </c>
      <c r="K3" s="6" t="n">
        <f aca="false">D3-I3</f>
        <v>0</v>
      </c>
      <c r="L3" s="6" t="n">
        <f aca="false">G3-J3</f>
        <v>0</v>
      </c>
    </row>
    <row r="5" customFormat="false" ht="15" hidden="false" customHeight="false" outlineLevel="0" collapsed="false">
      <c r="A5" s="8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9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8" min="7" style="0" width="16"/>
    <col collapsed="false" customWidth="true" hidden="false" outlineLevel="0" max="9" min="9" style="0" width="52"/>
  </cols>
  <sheetData>
    <row r="1" customFormat="false" ht="42" hidden="false" customHeight="true" outlineLevel="0" collapsed="false">
      <c r="A1" s="4" t="s">
        <v>41</v>
      </c>
      <c r="B1" s="4" t="s">
        <v>42</v>
      </c>
      <c r="C1" s="4" t="s">
        <v>7</v>
      </c>
      <c r="D1" s="4" t="s">
        <v>43</v>
      </c>
      <c r="E1" s="4" t="s">
        <v>44</v>
      </c>
      <c r="F1" s="4" t="s">
        <v>33</v>
      </c>
      <c r="G1" s="4" t="s">
        <v>45</v>
      </c>
      <c r="H1" s="4" t="s">
        <v>46</v>
      </c>
      <c r="I1" s="4" t="s">
        <v>47</v>
      </c>
    </row>
    <row r="2" customFormat="false" ht="15" hidden="false" customHeight="false" outlineLevel="0" collapsed="false">
      <c r="A2" s="9" t="s">
        <v>48</v>
      </c>
      <c r="B2" s="9" t="s">
        <v>38</v>
      </c>
      <c r="C2" s="9" t="s">
        <v>49</v>
      </c>
      <c r="D2" s="5" t="n">
        <v>68</v>
      </c>
      <c r="E2" s="5" t="n">
        <v>51</v>
      </c>
      <c r="F2" s="10" t="n">
        <f aca="false">IF(AND(ISNUMBER(D2),ISNUMBER(E2)),E2/D2,"n/i")</f>
        <v>0.75</v>
      </c>
      <c r="G2" s="5" t="n">
        <v>11</v>
      </c>
      <c r="H2" s="5" t="n">
        <v>4</v>
      </c>
      <c r="I2" s="9"/>
    </row>
    <row r="3" customFormat="false" ht="15" hidden="false" customHeight="false" outlineLevel="0" collapsed="false">
      <c r="A3" s="9" t="s">
        <v>48</v>
      </c>
      <c r="B3" s="9" t="s">
        <v>38</v>
      </c>
      <c r="C3" s="9" t="s">
        <v>50</v>
      </c>
      <c r="D3" s="5" t="n">
        <v>71</v>
      </c>
      <c r="E3" s="5" t="n">
        <v>56</v>
      </c>
      <c r="F3" s="10" t="n">
        <f aca="false">IF(AND(ISNUMBER(D3),ISNUMBER(E3)),E3/D3,"n/i")</f>
        <v>0.788732394366197</v>
      </c>
      <c r="G3" s="5" t="n">
        <v>11</v>
      </c>
      <c r="H3" s="5" t="n">
        <v>6</v>
      </c>
      <c r="I3" s="9"/>
    </row>
    <row r="4" customFormat="false" ht="15" hidden="false" customHeight="false" outlineLevel="0" collapsed="false">
      <c r="A4" s="9" t="s">
        <v>48</v>
      </c>
      <c r="B4" s="9" t="s">
        <v>39</v>
      </c>
      <c r="C4" s="9" t="s">
        <v>49</v>
      </c>
      <c r="D4" s="5" t="n">
        <v>124</v>
      </c>
      <c r="E4" s="5" t="n">
        <v>106</v>
      </c>
      <c r="F4" s="10" t="n">
        <f aca="false">IF(AND(ISNUMBER(D4),ISNUMBER(E4)),E4/D4,"n/i")</f>
        <v>0.854838709677419</v>
      </c>
      <c r="G4" s="5" t="n">
        <v>30</v>
      </c>
      <c r="H4" s="5" t="n">
        <v>23</v>
      </c>
      <c r="I4" s="9"/>
    </row>
    <row r="5" customFormat="false" ht="15" hidden="false" customHeight="false" outlineLevel="0" collapsed="false">
      <c r="A5" s="9" t="s">
        <v>48</v>
      </c>
      <c r="B5" s="9" t="s">
        <v>39</v>
      </c>
      <c r="C5" s="9" t="s">
        <v>50</v>
      </c>
      <c r="D5" s="5" t="n">
        <v>126</v>
      </c>
      <c r="E5" s="5" t="n">
        <v>110</v>
      </c>
      <c r="F5" s="10" t="n">
        <f aca="false">IF(AND(ISNUMBER(D5),ISNUMBER(E5)),E5/D5,"n/i")</f>
        <v>0.873015873015873</v>
      </c>
      <c r="G5" s="5" t="n">
        <v>29</v>
      </c>
      <c r="H5" s="5" t="n">
        <v>23</v>
      </c>
      <c r="I5" s="9"/>
    </row>
    <row r="6" customFormat="false" ht="15" hidden="false" customHeight="false" outlineLevel="0" collapsed="false">
      <c r="A6" s="9" t="s">
        <v>51</v>
      </c>
      <c r="B6" s="9" t="s">
        <v>38</v>
      </c>
      <c r="C6" s="9" t="s">
        <v>49</v>
      </c>
      <c r="D6" s="5" t="n">
        <v>68</v>
      </c>
      <c r="E6" s="5" t="n">
        <v>52</v>
      </c>
      <c r="F6" s="10" t="n">
        <f aca="false">IF(AND(ISNUMBER(D6),ISNUMBER(E6)),E6/D6,"n/i")</f>
        <v>0.764705882352941</v>
      </c>
      <c r="G6" s="5" t="n">
        <v>11</v>
      </c>
      <c r="H6" s="5" t="n">
        <v>5</v>
      </c>
      <c r="I6" s="9"/>
    </row>
    <row r="7" customFormat="false" ht="15" hidden="false" customHeight="false" outlineLevel="0" collapsed="false">
      <c r="A7" s="9" t="s">
        <v>51</v>
      </c>
      <c r="B7" s="9" t="s">
        <v>38</v>
      </c>
      <c r="C7" s="9" t="s">
        <v>50</v>
      </c>
      <c r="D7" s="5" t="n">
        <v>91</v>
      </c>
      <c r="E7" s="5" t="n">
        <v>71</v>
      </c>
      <c r="F7" s="10" t="n">
        <f aca="false">IF(AND(ISNUMBER(D7),ISNUMBER(E7)),E7/D7,"n/i")</f>
        <v>0.78021978021978</v>
      </c>
      <c r="G7" s="5" t="n">
        <v>31</v>
      </c>
      <c r="H7" s="5" t="n">
        <v>21</v>
      </c>
      <c r="I7" s="9"/>
    </row>
    <row r="8" customFormat="false" ht="15" hidden="false" customHeight="false" outlineLevel="0" collapsed="false">
      <c r="A8" s="9" t="s">
        <v>51</v>
      </c>
      <c r="B8" s="9" t="s">
        <v>39</v>
      </c>
      <c r="C8" s="9" t="s">
        <v>49</v>
      </c>
      <c r="D8" s="5"/>
      <c r="E8" s="5" t="n">
        <v>135</v>
      </c>
      <c r="F8" s="10" t="str">
        <f aca="false">IF(AND(ISNUMBER(D8),ISNUMBER(E8)),E8/D8,"n/i")</f>
        <v>n/i</v>
      </c>
      <c r="G8" s="5"/>
      <c r="H8" s="5" t="n">
        <v>52</v>
      </c>
      <c r="I8" s="9" t="s">
        <v>52</v>
      </c>
    </row>
    <row r="9" customFormat="false" ht="15" hidden="false" customHeight="false" outlineLevel="0" collapsed="false">
      <c r="A9" s="9" t="s">
        <v>51</v>
      </c>
      <c r="B9" s="9" t="s">
        <v>39</v>
      </c>
      <c r="C9" s="9" t="s">
        <v>50</v>
      </c>
      <c r="D9" s="5" t="n">
        <v>162</v>
      </c>
      <c r="E9" s="5" t="n">
        <v>139</v>
      </c>
      <c r="F9" s="10" t="n">
        <f aca="false">IF(AND(ISNUMBER(D9),ISNUMBER(E9)),E9/D9,"n/i")</f>
        <v>0.858024691358025</v>
      </c>
      <c r="G9" s="5" t="n">
        <v>65</v>
      </c>
      <c r="H9" s="5" t="n">
        <v>52</v>
      </c>
      <c r="I9" s="9"/>
    </row>
    <row r="10" customFormat="false" ht="15" hidden="false" customHeight="false" outlineLevel="0" collapsed="false">
      <c r="A10" s="9" t="s">
        <v>53</v>
      </c>
      <c r="B10" s="9" t="s">
        <v>39</v>
      </c>
      <c r="C10" s="9" t="s">
        <v>49</v>
      </c>
      <c r="D10" s="5"/>
      <c r="E10" s="5" t="n">
        <v>135</v>
      </c>
      <c r="F10" s="10" t="str">
        <f aca="false">IF(AND(ISNUMBER(D10),ISNUMBER(E10)),E10/D10,"n/i")</f>
        <v>n/i</v>
      </c>
      <c r="G10" s="5"/>
      <c r="H10" s="5" t="n">
        <v>52</v>
      </c>
      <c r="I10" s="9" t="s">
        <v>54</v>
      </c>
    </row>
    <row r="11" customFormat="false" ht="15" hidden="false" customHeight="false" outlineLevel="0" collapsed="false">
      <c r="A11" s="9" t="s">
        <v>53</v>
      </c>
      <c r="B11" s="9" t="s">
        <v>39</v>
      </c>
      <c r="C11" s="9" t="s">
        <v>50</v>
      </c>
      <c r="D11" s="5" t="n">
        <v>162</v>
      </c>
      <c r="E11" s="5" t="n">
        <v>139</v>
      </c>
      <c r="F11" s="10" t="n">
        <f aca="false">IF(AND(ISNUMBER(D11),ISNUMBER(E11)),E11/D11,"n/i")</f>
        <v>0.858024691358025</v>
      </c>
      <c r="G11" s="5" t="n">
        <v>65</v>
      </c>
      <c r="H11" s="5" t="n">
        <v>52</v>
      </c>
      <c r="I11" s="9" t="s">
        <v>54</v>
      </c>
    </row>
    <row r="12" customFormat="false" ht="15" hidden="false" customHeight="false" outlineLevel="0" collapsed="false">
      <c r="A12" s="9" t="s">
        <v>55</v>
      </c>
      <c r="B12" s="9" t="s">
        <v>39</v>
      </c>
      <c r="C12" s="9" t="s">
        <v>49</v>
      </c>
      <c r="D12" s="5"/>
      <c r="E12" s="5" t="n">
        <v>105</v>
      </c>
      <c r="F12" s="10" t="str">
        <f aca="false">IF(AND(ISNUMBER(D12),ISNUMBER(E12)),E12/D12,"n/i")</f>
        <v>n/i</v>
      </c>
      <c r="G12" s="5"/>
      <c r="H12" s="5" t="n">
        <v>22</v>
      </c>
      <c r="I12" s="9" t="s">
        <v>56</v>
      </c>
    </row>
    <row r="13" customFormat="false" ht="15" hidden="false" customHeight="false" outlineLevel="0" collapsed="false">
      <c r="A13" s="9" t="s">
        <v>55</v>
      </c>
      <c r="B13" s="9" t="s">
        <v>39</v>
      </c>
      <c r="C13" s="9" t="s">
        <v>50</v>
      </c>
      <c r="D13" s="5" t="n">
        <v>126</v>
      </c>
      <c r="E13" s="5" t="n">
        <v>109</v>
      </c>
      <c r="F13" s="10" t="n">
        <f aca="false">IF(AND(ISNUMBER(D13),ISNUMBER(E13)),E13/D13,"n/i")</f>
        <v>0.865079365079365</v>
      </c>
      <c r="G13" s="5" t="n">
        <v>29</v>
      </c>
      <c r="H13" s="5" t="n">
        <v>22</v>
      </c>
      <c r="I13" s="9" t="s">
        <v>56</v>
      </c>
    </row>
    <row r="15" customFormat="false" ht="15" hidden="false" customHeight="false" outlineLevel="0" collapsed="false">
      <c r="A15" s="8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0"/>
  </cols>
  <sheetData>
    <row r="1" customFormat="false" ht="15" hidden="false" customHeight="false" outlineLevel="0" collapsed="false">
      <c r="A1" s="4" t="s">
        <v>58</v>
      </c>
      <c r="B1" s="4" t="s">
        <v>59</v>
      </c>
    </row>
    <row r="2" customFormat="false" ht="15" hidden="false" customHeight="false" outlineLevel="0" collapsed="false">
      <c r="A2" s="3" t="s">
        <v>60</v>
      </c>
      <c r="B2" s="3" t="s">
        <v>61</v>
      </c>
    </row>
    <row r="3" customFormat="false" ht="23.85" hidden="false" customHeight="false" outlineLevel="0" collapsed="false">
      <c r="A3" s="3" t="s">
        <v>60</v>
      </c>
      <c r="B3" s="3" t="s">
        <v>62</v>
      </c>
    </row>
    <row r="4" customFormat="false" ht="15" hidden="false" customHeight="false" outlineLevel="0" collapsed="false">
      <c r="A4" s="3" t="s">
        <v>60</v>
      </c>
      <c r="B4" s="3" t="s">
        <v>63</v>
      </c>
    </row>
    <row r="5" customFormat="false" ht="15" hidden="false" customHeight="false" outlineLevel="0" collapsed="false">
      <c r="A5" s="3" t="s">
        <v>60</v>
      </c>
      <c r="B5" s="3" t="s">
        <v>64</v>
      </c>
    </row>
    <row r="6" customFormat="false" ht="15" hidden="false" customHeight="false" outlineLevel="0" collapsed="false">
      <c r="A6" s="3" t="s">
        <v>65</v>
      </c>
      <c r="B6" s="3" t="s">
        <v>66</v>
      </c>
    </row>
    <row r="7" customFormat="false" ht="15" hidden="false" customHeight="false" outlineLevel="0" collapsed="false">
      <c r="A7" s="3" t="s">
        <v>65</v>
      </c>
      <c r="B7" s="3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2026-10-22T16:30:53Z</dcterms:created>
  <dc:creator>openpyxl</dc:creator>
  <dc:description/>
  <dc:language>en-US</dc:language>
  <cp:lastModifiedBy/>
  <dcterms:modified xsi:type="dcterms:W3CDTF">2026-10-22T16:30:53Z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